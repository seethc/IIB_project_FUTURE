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ey\IIB_project_FUTURE\rtc_test_files\20260304_1\"/>
    </mc:Choice>
  </mc:AlternateContent>
  <xr:revisionPtr revIDLastSave="0" documentId="13_ncr:1_{19E1E700-DA6C-48B7-BB0E-5BF93AA85A39}" xr6:coauthVersionLast="47" xr6:coauthVersionMax="47" xr10:uidLastSave="{00000000-0000-0000-0000-000000000000}"/>
  <bookViews>
    <workbookView xWindow="-14505" yWindow="0" windowWidth="14610" windowHeight="15585" xr2:uid="{315F16D0-9103-4776-B6DE-B08F1F8C8352}"/>
  </bookViews>
  <sheets>
    <sheet name="attiny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G2" i="1" a="1"/>
  <c r="G2" i="1" s="1"/>
  <c r="F2" i="1" a="1"/>
  <c r="F2" i="1" s="1"/>
  <c r="F5" i="1" s="1"/>
  <c r="G5" i="1" s="1"/>
  <c r="G13" i="1" l="1"/>
  <c r="H13" i="1" s="1"/>
  <c r="G10" i="1"/>
  <c r="H10" i="1" s="1"/>
  <c r="G9" i="1"/>
  <c r="H9" i="1" s="1"/>
  <c r="G14" i="1"/>
  <c r="H14" i="1" s="1"/>
  <c r="G11" i="1"/>
  <c r="H11" i="1" s="1"/>
  <c r="G12" i="1"/>
  <c r="H12" i="1" s="1"/>
  <c r="G8" i="1"/>
  <c r="H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<sst xmlns="http://schemas.openxmlformats.org/spreadsheetml/2006/main" count="19" uniqueCount="19">
  <si>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UTC Timestamp</t>
  </si>
  <si>
    <t>TOTP Code</t>
  </si>
  <si>
    <t>Elapsed HH:MM:SS</t>
  </si>
  <si>
    <t>Elapsed (s)</t>
  </si>
  <si>
    <t>UTC elapsed</t>
  </si>
  <si>
    <t>CLK elapsed</t>
  </si>
  <si>
    <t>Elapsed s</t>
  </si>
  <si>
    <t>Error</t>
  </si>
  <si>
    <t>% Error</t>
  </si>
  <si>
    <t>Window</t>
  </si>
  <si>
    <t>Time till TOTP desync</t>
  </si>
  <si>
    <t>1s</t>
  </si>
  <si>
    <t>60s</t>
  </si>
  <si>
    <t>30m</t>
  </si>
  <si>
    <t>1h</t>
  </si>
  <si>
    <t>6h</t>
  </si>
  <si>
    <t>12h</t>
  </si>
  <si>
    <t>Daily</t>
  </si>
  <si>
    <t>Using the ULP internal 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</si>
</sst>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.000"/>
    <numFmt numFmtId="165" formatCode="0.0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7" fontId="0" fillId="0" borderId="0" xfId="0" applyNumberFormat="1"/>
    <xf numFmtId="21" fontId="0" fillId="0" borderId="0" xfId="0" applyNumberFormat="1"/>
    <xf numFmtId="164" fontId="0" fillId="0" borderId="0" xfId="0" applyNumberFormat="1"/>
    <xf numFmtId="165" fontId="0" fillId="0" borderId="0" xfId="42" applyNumberFormat="1" applyFon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1685-FE25-4CE4-B4D3-A851F1F9BE8F}">
  <dimension ref="A1:H181"/>
  <sheetViews>
    <sheetView tabSelected="1" workbookViewId="0">
      <selection activeCell="H14" sqref="H14"/>
    </sheetView>
  </sheetViews>
  <sheetFormatPr defaultRowHeight="14.4" x14ac:dyDescent="0.3"/>
  <cols>
    <col min="1" max="1" width="14.44140625" bestFit="1" customWidth="1"/>
    <col min="2" max="2" width="10.109375" bestFit="1" customWidth="1"/>
    <col min="3" max="3" width="17.109375" bestFit="1" customWidth="1"/>
    <col min="4" max="4" width="10.5546875" bestFit="1" customWidth="1"/>
    <col min="6" max="6" width="11.6640625" bestFit="1" customWidth="1"/>
    <col min="7" max="7" width="19.33203125" bestFit="1" customWidth="1"/>
    <col min="8" max="8" width="12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46085.009068043983</v>
      </c>
      <c r="B2">
        <v>755224</v>
      </c>
      <c r="C2" s="2">
        <v>0</v>
      </c>
      <c r="D2">
        <v>0</v>
      </c>
      <c r="F2" s="3" cm="1">
        <f t="array" ref="F2">INDEX(A:A, COUNTA(A:A)) - A2</f>
        <v>0.38671539352071704</v>
      </c>
      <c r="G2" s="3" cm="1">
        <f t="array" ref="G2">INDEX(C:C, COUNTA(C:C)) - C2</f>
        <v>0.38545138888888891</v>
      </c>
      <c r="H2" s="3" cm="1">
        <f t="array" ref="H2">(INDEX(D:D, COUNTA(D:D)))/86400</f>
        <v>0.38545138888888891</v>
      </c>
    </row>
    <row r="3" spans="1:8" x14ac:dyDescent="0.3">
      <c r="A3" s="1">
        <v>46085.009079976851</v>
      </c>
      <c r="B3">
        <v>287082</v>
      </c>
      <c r="C3" s="2">
        <v>6.2500000000000001E-4</v>
      </c>
      <c r="D3">
        <v>54</v>
      </c>
    </row>
    <row r="4" spans="1:8" x14ac:dyDescent="0.3">
      <c r="A4" s="1">
        <v>46085.009091921296</v>
      </c>
      <c r="B4">
        <v>287082</v>
      </c>
      <c r="C4" s="2">
        <v>6.3657407407407413E-4</v>
      </c>
      <c r="D4">
        <v>55</v>
      </c>
      <c r="F4" t="s">
        <v>7</v>
      </c>
      <c r="G4" t="s">
        <v>8</v>
      </c>
    </row>
    <row r="5" spans="1:8" x14ac:dyDescent="0.3">
      <c r="A5" s="1">
        <v>46085.009103854165</v>
      </c>
      <c r="B5">
        <v>287082</v>
      </c>
      <c r="C5" s="2">
        <v>6.4814814814814813E-4</v>
      </c>
      <c r="D5">
        <v>56</v>
      </c>
      <c r="F5" s="3">
        <f>ABS(F2-G2)</f>
        <v>1.2640046318281306E-3</v>
      </c>
      <c r="G5" s="4">
        <f>F5/F2</f>
        <v>3.2685655989032037E-3</v>
      </c>
    </row>
    <row r="6" spans="1:8" x14ac:dyDescent="0.3">
      <c r="A6" s="1">
        <v>46085.00911579861</v>
      </c>
      <c r="B6">
        <v>287082</v>
      </c>
      <c r="C6" s="2">
        <v>6.5972222222222224E-4</v>
      </c>
      <c r="D6">
        <v>57</v>
      </c>
    </row>
    <row r="7" spans="1:8" x14ac:dyDescent="0.3">
      <c r="A7" s="1">
        <v>46085.009127731479</v>
      </c>
      <c r="B7">
        <v>287082</v>
      </c>
      <c r="C7" s="2">
        <v>6.7129629629629625E-4</v>
      </c>
      <c r="D7">
        <v>58</v>
      </c>
      <c r="F7" t="s">
        <v>9</v>
      </c>
      <c r="G7" t="s">
        <v>10</v>
      </c>
    </row>
    <row r="8" spans="1:8" x14ac:dyDescent="0.3">
      <c r="A8" s="1">
        <v>46085.009139664355</v>
      </c>
      <c r="B8">
        <v>287082</v>
      </c>
      <c r="C8" s="2">
        <v>6.8287037037037036E-4</v>
      </c>
      <c r="D8">
        <v>59</v>
      </c>
      <c r="F8" t="s">
        <v>11</v>
      </c>
      <c r="G8">
        <f>(1/(60*60*24))/G5</f>
        <v>3.5410254816234548E-3</v>
      </c>
      <c r="H8" t="str">
        <f t="shared" ref="H8:H13" si="0">INT(G8) &amp; "d" &amp; TEXT(G8-INT(G8), "hh:mm:ss")</f>
        <v>0d00:05:06</v>
      </c>
    </row>
    <row r="9" spans="1:8" x14ac:dyDescent="0.3">
      <c r="A9" s="1">
        <v>46085.009151597224</v>
      </c>
      <c r="B9">
        <v>359152</v>
      </c>
      <c r="C9" s="2">
        <v>6.9444444444444447E-4</v>
      </c>
      <c r="D9">
        <v>60</v>
      </c>
      <c r="F9" t="s">
        <v>12</v>
      </c>
      <c r="G9">
        <f>(1/(60*24))/G5</f>
        <v>0.21246152889740733</v>
      </c>
      <c r="H9" t="str">
        <f t="shared" si="0"/>
        <v>0d05:05:57</v>
      </c>
    </row>
    <row r="10" spans="1:8" x14ac:dyDescent="0.3">
      <c r="A10" s="1">
        <v>46085.009163541668</v>
      </c>
      <c r="B10">
        <v>359152</v>
      </c>
      <c r="C10" s="2">
        <v>7.0601851851851847E-4</v>
      </c>
      <c r="D10">
        <v>61</v>
      </c>
      <c r="F10" t="s">
        <v>13</v>
      </c>
      <c r="G10">
        <f>(1/48)/G5</f>
        <v>6.3738458669222187</v>
      </c>
      <c r="H10" t="str">
        <f t="shared" si="0"/>
        <v>6d08:58:20</v>
      </c>
    </row>
    <row r="11" spans="1:8" x14ac:dyDescent="0.3">
      <c r="A11" s="1">
        <v>46085.009175474537</v>
      </c>
      <c r="B11">
        <v>359152</v>
      </c>
      <c r="C11" s="2">
        <v>7.1759259259259259E-4</v>
      </c>
      <c r="D11">
        <v>62</v>
      </c>
      <c r="F11" t="s">
        <v>14</v>
      </c>
      <c r="G11">
        <f>(1/24)/G5</f>
        <v>12.747691733844437</v>
      </c>
      <c r="H11" t="str">
        <f t="shared" si="0"/>
        <v>12d17:56:41</v>
      </c>
    </row>
    <row r="12" spans="1:8" x14ac:dyDescent="0.3">
      <c r="A12" s="1">
        <v>46085.009187407406</v>
      </c>
      <c r="B12">
        <v>359152</v>
      </c>
      <c r="C12" s="2">
        <v>7.291666666666667E-4</v>
      </c>
      <c r="D12">
        <v>63</v>
      </c>
      <c r="F12" t="s">
        <v>15</v>
      </c>
      <c r="G12">
        <f>0.25/G5</f>
        <v>76.486150403066631</v>
      </c>
      <c r="H12" t="str">
        <f t="shared" si="0"/>
        <v>76d11:40:03</v>
      </c>
    </row>
    <row r="13" spans="1:8" x14ac:dyDescent="0.3">
      <c r="A13" s="1">
        <v>46085.009199351851</v>
      </c>
      <c r="B13">
        <v>359152</v>
      </c>
      <c r="C13" s="2">
        <v>7.407407407407407E-4</v>
      </c>
      <c r="D13">
        <v>64</v>
      </c>
      <c r="F13" t="s">
        <v>16</v>
      </c>
      <c r="G13">
        <f>0.5/G5</f>
        <v>152.97230080613326</v>
      </c>
      <c r="H13" t="str">
        <f t="shared" si="0"/>
        <v>152d23:20:07</v>
      </c>
    </row>
    <row r="14" spans="1:8" x14ac:dyDescent="0.3">
      <c r="A14" s="1">
        <v>46085.00921128472</v>
      </c>
      <c r="B14">
        <v>359152</v>
      </c>
      <c r="C14" s="2">
        <v>7.5231481481481482E-4</v>
      </c>
      <c r="D14">
        <v>65</v>
      </c>
      <c r="F14" t="s">
        <v>17</v>
      </c>
      <c r="G14" s="5">
        <f>(1/G5)</f>
        <v>305.94460161226652</v>
      </c>
      <c r="H14" t="str">
        <f>INT(G14) &amp; "d" &amp; TEXT(G14-INT(G14), "hh:mm:ss")</f>
        <v>305d22:40:14</v>
      </c>
    </row>
    <row r="15" spans="1:8" x14ac:dyDescent="0.3">
      <c r="A15" s="1">
        <v>46085.009223217596</v>
      </c>
      <c r="B15">
        <v>359152</v>
      </c>
      <c r="C15" s="2">
        <v>7.6388888888888893E-4</v>
      </c>
      <c r="D15">
        <v>66</v>
      </c>
    </row>
    <row r="16" spans="1:8" x14ac:dyDescent="0.3">
      <c r="A16" s="1">
        <v>46085.009235162041</v>
      </c>
      <c r="B16">
        <v>359152</v>
      </c>
      <c r="C16" s="2">
        <v>7.7546296296296293E-4</v>
      </c>
      <c r="D16">
        <v>67</v>
      </c>
    </row>
    <row r="17" spans="1:6" x14ac:dyDescent="0.3">
      <c r="A17" s="1">
        <v>46085.009247094909</v>
      </c>
      <c r="B17">
        <v>359152</v>
      </c>
      <c r="C17" s="2">
        <v>7.8703703703703705E-4</v>
      </c>
      <c r="D17">
        <v>68</v>
      </c>
      <c r="F17" t="s">
        <v>18</v>
      </c>
    </row>
    <row r="18" spans="1:6" x14ac:dyDescent="0.3">
      <c r="A18" s="1">
        <v>46085.009259039354</v>
      </c>
      <c r="B18">
        <v>359152</v>
      </c>
      <c r="C18" s="2">
        <v>7.9861111111111116E-4</v>
      </c>
      <c r="D18">
        <v>69</v>
      </c>
    </row>
    <row r="19" spans="1:6" x14ac:dyDescent="0.3">
      <c r="A19" s="1">
        <v>46085.009270972223</v>
      </c>
      <c r="B19">
        <v>359152</v>
      </c>
      <c r="C19" s="2">
        <v>8.1018518518518516E-4</v>
      </c>
      <c r="D19">
        <v>70</v>
      </c>
    </row>
    <row r="20" spans="1:6" x14ac:dyDescent="0.3">
      <c r="A20" s="1">
        <v>46085.009282916668</v>
      </c>
      <c r="B20">
        <v>359152</v>
      </c>
      <c r="C20" s="2">
        <v>8.2175925925925927E-4</v>
      </c>
      <c r="D20">
        <v>71</v>
      </c>
    </row>
    <row r="21" spans="1:6" x14ac:dyDescent="0.3">
      <c r="A21" s="1">
        <v>46085.009294849537</v>
      </c>
      <c r="B21">
        <v>359152</v>
      </c>
      <c r="C21" s="2">
        <v>8.3333333333333339E-4</v>
      </c>
      <c r="D21">
        <v>72</v>
      </c>
    </row>
    <row r="22" spans="1:6" x14ac:dyDescent="0.3">
      <c r="A22" s="1">
        <v>46085.009306793982</v>
      </c>
      <c r="B22">
        <v>359152</v>
      </c>
      <c r="C22" s="2">
        <v>8.564814814814815E-4</v>
      </c>
      <c r="D22">
        <v>74</v>
      </c>
    </row>
    <row r="23" spans="1:6" x14ac:dyDescent="0.3">
      <c r="A23" s="1">
        <v>46085.00931872685</v>
      </c>
      <c r="B23">
        <v>359152</v>
      </c>
      <c r="C23" s="2">
        <v>8.6805555555555551E-4</v>
      </c>
      <c r="D23">
        <v>75</v>
      </c>
    </row>
    <row r="24" spans="1:6" x14ac:dyDescent="0.3">
      <c r="A24" s="1">
        <v>46085.009330671295</v>
      </c>
      <c r="B24">
        <v>359152</v>
      </c>
      <c r="C24" s="2">
        <v>8.7962962962962962E-4</v>
      </c>
      <c r="D24">
        <v>76</v>
      </c>
    </row>
    <row r="25" spans="1:6" x14ac:dyDescent="0.3">
      <c r="A25" s="1">
        <v>46085.009342604164</v>
      </c>
      <c r="B25">
        <v>359152</v>
      </c>
      <c r="C25" s="2">
        <v>8.9120370370370373E-4</v>
      </c>
      <c r="D25">
        <v>77</v>
      </c>
    </row>
    <row r="26" spans="1:6" x14ac:dyDescent="0.3">
      <c r="A26" s="1">
        <v>46085.00935453704</v>
      </c>
      <c r="B26">
        <v>359152</v>
      </c>
      <c r="C26" s="2">
        <v>9.0277777777777774E-4</v>
      </c>
      <c r="D26">
        <v>78</v>
      </c>
    </row>
    <row r="27" spans="1:6" x14ac:dyDescent="0.3">
      <c r="A27" s="1">
        <v>46085.009366481485</v>
      </c>
      <c r="B27">
        <v>359152</v>
      </c>
      <c r="C27" s="2">
        <v>9.1435185185185185E-4</v>
      </c>
      <c r="D27">
        <v>79</v>
      </c>
    </row>
    <row r="28" spans="1:6" x14ac:dyDescent="0.3">
      <c r="A28" s="1">
        <v>46085.009378414354</v>
      </c>
      <c r="B28">
        <v>359152</v>
      </c>
      <c r="C28" s="2">
        <v>9.2592592592592596E-4</v>
      </c>
      <c r="D28">
        <v>80</v>
      </c>
    </row>
    <row r="29" spans="1:6" x14ac:dyDescent="0.3">
      <c r="A29" s="1">
        <v>46085.009390347223</v>
      </c>
      <c r="B29">
        <v>359152</v>
      </c>
      <c r="C29" s="2">
        <v>9.3749999999999997E-4</v>
      </c>
      <c r="D29">
        <v>81</v>
      </c>
    </row>
    <row r="30" spans="1:6" x14ac:dyDescent="0.3">
      <c r="A30" s="1">
        <v>46085.009402291667</v>
      </c>
      <c r="B30">
        <v>359152</v>
      </c>
      <c r="C30" s="2">
        <v>9.4907407407407408E-4</v>
      </c>
      <c r="D30">
        <v>82</v>
      </c>
    </row>
    <row r="31" spans="1:6" x14ac:dyDescent="0.3">
      <c r="A31" s="1">
        <v>46085.009414224536</v>
      </c>
      <c r="B31">
        <v>359152</v>
      </c>
      <c r="C31" s="2">
        <v>9.6064814814814819E-4</v>
      </c>
      <c r="D31">
        <v>83</v>
      </c>
    </row>
    <row r="32" spans="1:6" x14ac:dyDescent="0.3">
      <c r="A32" s="1">
        <v>46085.009426157405</v>
      </c>
      <c r="B32">
        <v>359152</v>
      </c>
      <c r="C32" s="2">
        <v>9.7222222222222219E-4</v>
      </c>
      <c r="D32">
        <v>84</v>
      </c>
    </row>
    <row r="33" spans="1:4" x14ac:dyDescent="0.3">
      <c r="A33" s="1">
        <v>46085.009438090281</v>
      </c>
      <c r="B33">
        <v>359152</v>
      </c>
      <c r="C33" s="2">
        <v>9.837962962962962E-4</v>
      </c>
      <c r="D33">
        <v>85</v>
      </c>
    </row>
    <row r="34" spans="1:4" x14ac:dyDescent="0.3">
      <c r="A34" s="1">
        <v>46085.009450034719</v>
      </c>
      <c r="B34">
        <v>359152</v>
      </c>
      <c r="C34" s="2">
        <v>9.9537037037037042E-4</v>
      </c>
      <c r="D34">
        <v>86</v>
      </c>
    </row>
    <row r="35" spans="1:4" x14ac:dyDescent="0.3">
      <c r="A35" s="1">
        <v>46085.009461967595</v>
      </c>
      <c r="B35">
        <v>359152</v>
      </c>
      <c r="C35" s="2">
        <v>1.0069444444444444E-3</v>
      </c>
      <c r="D35">
        <v>87</v>
      </c>
    </row>
    <row r="36" spans="1:4" x14ac:dyDescent="0.3">
      <c r="A36" s="1">
        <v>46085.00947391204</v>
      </c>
      <c r="B36">
        <v>359152</v>
      </c>
      <c r="C36" s="2">
        <v>1.0185185185185184E-3</v>
      </c>
      <c r="D36">
        <v>88</v>
      </c>
    </row>
    <row r="37" spans="1:4" x14ac:dyDescent="0.3">
      <c r="A37" s="1">
        <v>46085.009485844908</v>
      </c>
      <c r="B37">
        <v>359152</v>
      </c>
      <c r="C37" s="2">
        <v>1.0300925925925926E-3</v>
      </c>
      <c r="D37">
        <v>89</v>
      </c>
    </row>
    <row r="38" spans="1:4" x14ac:dyDescent="0.3">
      <c r="A38" s="1">
        <v>46085.009497777777</v>
      </c>
      <c r="B38">
        <v>969429</v>
      </c>
      <c r="C38" s="2">
        <v>1.0416666666666667E-3</v>
      </c>
      <c r="D38">
        <v>90</v>
      </c>
    </row>
    <row r="39" spans="1:4" x14ac:dyDescent="0.3">
      <c r="A39" s="1">
        <v>46085.009509710646</v>
      </c>
      <c r="B39">
        <v>969429</v>
      </c>
      <c r="C39" s="2">
        <v>1.0532407407407407E-3</v>
      </c>
      <c r="D39">
        <v>91</v>
      </c>
    </row>
    <row r="40" spans="1:4" x14ac:dyDescent="0.3">
      <c r="A40" s="1">
        <v>46085.009521643522</v>
      </c>
      <c r="B40">
        <v>969429</v>
      </c>
      <c r="C40" s="2">
        <v>1.0648148148148149E-3</v>
      </c>
      <c r="D40">
        <v>92</v>
      </c>
    </row>
    <row r="41" spans="1:4" x14ac:dyDescent="0.3">
      <c r="A41" s="1">
        <v>46085.00953358796</v>
      </c>
      <c r="B41">
        <v>969429</v>
      </c>
      <c r="C41" s="2">
        <v>1.0763888888888889E-3</v>
      </c>
      <c r="D41">
        <v>93</v>
      </c>
    </row>
    <row r="42" spans="1:4" x14ac:dyDescent="0.3">
      <c r="A42" s="1">
        <v>46085.009545520836</v>
      </c>
      <c r="B42">
        <v>969429</v>
      </c>
      <c r="C42" s="2">
        <v>1.0879629629629629E-3</v>
      </c>
      <c r="D42">
        <v>94</v>
      </c>
    </row>
    <row r="43" spans="1:4" x14ac:dyDescent="0.3">
      <c r="A43" s="1">
        <v>46085.009557453704</v>
      </c>
      <c r="B43">
        <v>969429</v>
      </c>
      <c r="C43" s="2">
        <v>1.0995370370370371E-3</v>
      </c>
      <c r="D43">
        <v>95</v>
      </c>
    </row>
    <row r="44" spans="1:4" x14ac:dyDescent="0.3">
      <c r="A44" s="1">
        <v>46085.009569386573</v>
      </c>
      <c r="B44">
        <v>969429</v>
      </c>
      <c r="C44" s="2">
        <v>1.1111111111111111E-3</v>
      </c>
      <c r="D44">
        <v>96</v>
      </c>
    </row>
    <row r="45" spans="1:4" x14ac:dyDescent="0.3">
      <c r="A45" s="1">
        <v>46085.009581319442</v>
      </c>
      <c r="B45">
        <v>969429</v>
      </c>
      <c r="C45" s="2">
        <v>1.1226851851851851E-3</v>
      </c>
      <c r="D45">
        <v>97</v>
      </c>
    </row>
    <row r="46" spans="1:4" x14ac:dyDescent="0.3">
      <c r="A46" s="1">
        <v>46085.009593252318</v>
      </c>
      <c r="B46">
        <v>969429</v>
      </c>
      <c r="C46" s="2">
        <v>1.1342592592592593E-3</v>
      </c>
      <c r="D46">
        <v>98</v>
      </c>
    </row>
    <row r="47" spans="1:4" x14ac:dyDescent="0.3">
      <c r="A47" s="1">
        <v>46085.009605185187</v>
      </c>
      <c r="B47">
        <v>969429</v>
      </c>
      <c r="C47" s="2">
        <v>1.1458333333333333E-3</v>
      </c>
      <c r="D47">
        <v>99</v>
      </c>
    </row>
    <row r="48" spans="1:4" x14ac:dyDescent="0.3">
      <c r="A48" s="1">
        <v>46085.009617141201</v>
      </c>
      <c r="B48">
        <v>969429</v>
      </c>
      <c r="C48" s="2">
        <v>1.1574074074074073E-3</v>
      </c>
      <c r="D48">
        <v>100</v>
      </c>
    </row>
    <row r="49" spans="1:4" x14ac:dyDescent="0.3">
      <c r="A49" s="1">
        <v>46085.009629085645</v>
      </c>
      <c r="B49">
        <v>969429</v>
      </c>
      <c r="C49" s="2">
        <v>1.1689814814814816E-3</v>
      </c>
      <c r="D49">
        <v>101</v>
      </c>
    </row>
    <row r="50" spans="1:4" x14ac:dyDescent="0.3">
      <c r="A50" s="1">
        <v>46085.009641041666</v>
      </c>
      <c r="B50">
        <v>969429</v>
      </c>
      <c r="C50" s="2">
        <v>1.1805555555555556E-3</v>
      </c>
      <c r="D50">
        <v>102</v>
      </c>
    </row>
    <row r="51" spans="1:4" x14ac:dyDescent="0.3">
      <c r="A51" s="1">
        <v>46085.009652986111</v>
      </c>
      <c r="B51">
        <v>969429</v>
      </c>
      <c r="C51" s="2">
        <v>1.1921296296296296E-3</v>
      </c>
      <c r="D51">
        <v>103</v>
      </c>
    </row>
    <row r="52" spans="1:4" x14ac:dyDescent="0.3">
      <c r="A52" s="1">
        <v>46085.009664930556</v>
      </c>
      <c r="B52">
        <v>969429</v>
      </c>
      <c r="C52" s="2">
        <v>1.2037037037037038E-3</v>
      </c>
      <c r="D52">
        <v>104</v>
      </c>
    </row>
    <row r="53" spans="1:4" x14ac:dyDescent="0.3">
      <c r="A53" s="1">
        <v>46085.009676886577</v>
      </c>
      <c r="B53">
        <v>969429</v>
      </c>
      <c r="C53" s="2">
        <v>1.2152777777777778E-3</v>
      </c>
      <c r="D53">
        <v>105</v>
      </c>
    </row>
    <row r="54" spans="1:4" x14ac:dyDescent="0.3">
      <c r="A54" s="1">
        <v>46085.009688831022</v>
      </c>
      <c r="B54">
        <v>969429</v>
      </c>
      <c r="C54" s="2">
        <v>1.2268518518518518E-3</v>
      </c>
      <c r="D54">
        <v>106</v>
      </c>
    </row>
    <row r="55" spans="1:4" x14ac:dyDescent="0.3">
      <c r="A55" s="1">
        <v>46085.009700787035</v>
      </c>
      <c r="B55">
        <v>969429</v>
      </c>
      <c r="C55" s="2">
        <v>1.238425925925926E-3</v>
      </c>
      <c r="D55">
        <v>107</v>
      </c>
    </row>
    <row r="56" spans="1:4" x14ac:dyDescent="0.3">
      <c r="A56" s="1">
        <v>46085.00971273148</v>
      </c>
      <c r="B56">
        <v>969429</v>
      </c>
      <c r="C56" s="2">
        <v>1.25E-3</v>
      </c>
      <c r="D56">
        <v>108</v>
      </c>
    </row>
    <row r="57" spans="1:4" x14ac:dyDescent="0.3">
      <c r="A57" s="1">
        <v>46085.009724687501</v>
      </c>
      <c r="B57">
        <v>969429</v>
      </c>
      <c r="C57" s="2">
        <v>1.261574074074074E-3</v>
      </c>
      <c r="D57">
        <v>109</v>
      </c>
    </row>
    <row r="58" spans="1:4" x14ac:dyDescent="0.3">
      <c r="A58" s="1">
        <v>46085.009736631946</v>
      </c>
      <c r="B58">
        <v>969429</v>
      </c>
      <c r="C58" s="2">
        <v>1.2731481481481483E-3</v>
      </c>
      <c r="D58">
        <v>110</v>
      </c>
    </row>
    <row r="59" spans="1:4" x14ac:dyDescent="0.3">
      <c r="A59" s="1">
        <v>46085.009748576391</v>
      </c>
      <c r="B59">
        <v>969429</v>
      </c>
      <c r="C59" s="2">
        <v>1.2847222222222223E-3</v>
      </c>
      <c r="D59">
        <v>111</v>
      </c>
    </row>
    <row r="60" spans="1:4" x14ac:dyDescent="0.3">
      <c r="A60" s="1">
        <v>46085.009760532404</v>
      </c>
      <c r="B60">
        <v>969429</v>
      </c>
      <c r="C60" s="2">
        <v>1.3078703703703703E-3</v>
      </c>
      <c r="D60">
        <v>113</v>
      </c>
    </row>
    <row r="61" spans="1:4" x14ac:dyDescent="0.3">
      <c r="A61" s="1">
        <v>46085.009772476849</v>
      </c>
      <c r="B61">
        <v>969429</v>
      </c>
      <c r="C61" s="2">
        <v>1.3194444444444445E-3</v>
      </c>
      <c r="D61">
        <v>114</v>
      </c>
    </row>
    <row r="62" spans="1:4" x14ac:dyDescent="0.3">
      <c r="A62" s="1">
        <v>46085.013564050925</v>
      </c>
      <c r="B62">
        <v>229903</v>
      </c>
      <c r="C62" s="2">
        <v>5.092592592592593E-3</v>
      </c>
      <c r="D62">
        <v>440</v>
      </c>
    </row>
    <row r="63" spans="1:4" x14ac:dyDescent="0.3">
      <c r="A63" s="1">
        <v>46085.01357599537</v>
      </c>
      <c r="B63">
        <v>229903</v>
      </c>
      <c r="C63" s="2">
        <v>5.1041666666666666E-3</v>
      </c>
      <c r="D63">
        <v>441</v>
      </c>
    </row>
    <row r="64" spans="1:4" x14ac:dyDescent="0.3">
      <c r="A64" s="1">
        <v>46085.013587951391</v>
      </c>
      <c r="B64">
        <v>229903</v>
      </c>
      <c r="C64" s="2">
        <v>5.115740740740741E-3</v>
      </c>
      <c r="D64">
        <v>442</v>
      </c>
    </row>
    <row r="65" spans="1:4" x14ac:dyDescent="0.3">
      <c r="A65" s="1">
        <v>46085.013599895836</v>
      </c>
      <c r="B65">
        <v>229903</v>
      </c>
      <c r="C65" s="2">
        <v>5.1273148148148146E-3</v>
      </c>
      <c r="D65">
        <v>443</v>
      </c>
    </row>
    <row r="66" spans="1:4" x14ac:dyDescent="0.3">
      <c r="A66" s="1">
        <v>46085.013611840281</v>
      </c>
      <c r="B66">
        <v>229903</v>
      </c>
      <c r="C66" s="2">
        <v>5.138888888888889E-3</v>
      </c>
      <c r="D66">
        <v>444</v>
      </c>
    </row>
    <row r="67" spans="1:4" x14ac:dyDescent="0.3">
      <c r="A67" s="1">
        <v>46085.013623796294</v>
      </c>
      <c r="B67">
        <v>229903</v>
      </c>
      <c r="C67" s="2">
        <v>5.1504629629629626E-3</v>
      </c>
      <c r="D67">
        <v>445</v>
      </c>
    </row>
    <row r="68" spans="1:4" x14ac:dyDescent="0.3">
      <c r="A68" s="1">
        <v>46085.013635740739</v>
      </c>
      <c r="B68">
        <v>229903</v>
      </c>
      <c r="C68" s="2">
        <v>5.162037037037037E-3</v>
      </c>
      <c r="D68">
        <v>446</v>
      </c>
    </row>
    <row r="69" spans="1:4" x14ac:dyDescent="0.3">
      <c r="A69" s="1">
        <v>46085.013647685184</v>
      </c>
      <c r="B69">
        <v>229903</v>
      </c>
      <c r="C69" s="2">
        <v>5.1736111111111115E-3</v>
      </c>
      <c r="D69">
        <v>447</v>
      </c>
    </row>
    <row r="70" spans="1:4" x14ac:dyDescent="0.3">
      <c r="A70" s="1">
        <v>46085.013659641205</v>
      </c>
      <c r="B70">
        <v>229903</v>
      </c>
      <c r="C70" s="2">
        <v>5.185185185185185E-3</v>
      </c>
      <c r="D70">
        <v>448</v>
      </c>
    </row>
    <row r="71" spans="1:4" x14ac:dyDescent="0.3">
      <c r="A71" s="1">
        <v>46085.01367158565</v>
      </c>
      <c r="B71">
        <v>229903</v>
      </c>
      <c r="C71" s="2">
        <v>5.1967592592592595E-3</v>
      </c>
      <c r="D71">
        <v>449</v>
      </c>
    </row>
    <row r="72" spans="1:4" x14ac:dyDescent="0.3">
      <c r="A72" s="1">
        <v>46085.013683541663</v>
      </c>
      <c r="B72">
        <v>436521</v>
      </c>
      <c r="C72" s="2">
        <v>5.208333333333333E-3</v>
      </c>
      <c r="D72">
        <v>450</v>
      </c>
    </row>
    <row r="73" spans="1:4" x14ac:dyDescent="0.3">
      <c r="A73" s="1">
        <v>46085.013695486108</v>
      </c>
      <c r="B73">
        <v>436521</v>
      </c>
      <c r="C73" s="2">
        <v>5.2199074074074075E-3</v>
      </c>
      <c r="D73">
        <v>451</v>
      </c>
    </row>
    <row r="74" spans="1:4" x14ac:dyDescent="0.3">
      <c r="A74" s="1">
        <v>46085.013707442129</v>
      </c>
      <c r="B74">
        <v>436521</v>
      </c>
      <c r="C74" s="2">
        <v>5.2314814814814811E-3</v>
      </c>
      <c r="D74">
        <v>452</v>
      </c>
    </row>
    <row r="75" spans="1:4" x14ac:dyDescent="0.3">
      <c r="A75" s="1">
        <v>46085.013719386574</v>
      </c>
      <c r="B75">
        <v>436521</v>
      </c>
      <c r="C75" s="2">
        <v>5.2430555555555555E-3</v>
      </c>
      <c r="D75">
        <v>453</v>
      </c>
    </row>
    <row r="76" spans="1:4" x14ac:dyDescent="0.3">
      <c r="A76" s="1">
        <v>46085.013731342595</v>
      </c>
      <c r="B76">
        <v>436521</v>
      </c>
      <c r="C76" s="2">
        <v>5.2546296296296299E-3</v>
      </c>
      <c r="D76">
        <v>454</v>
      </c>
    </row>
    <row r="77" spans="1:4" x14ac:dyDescent="0.3">
      <c r="A77" s="1">
        <v>46085.01374328704</v>
      </c>
      <c r="B77">
        <v>436521</v>
      </c>
      <c r="C77" s="2">
        <v>5.2662037037037035E-3</v>
      </c>
      <c r="D77">
        <v>455</v>
      </c>
    </row>
    <row r="78" spans="1:4" x14ac:dyDescent="0.3">
      <c r="A78" s="1">
        <v>46085.013755243053</v>
      </c>
      <c r="B78">
        <v>436521</v>
      </c>
      <c r="C78" s="2">
        <v>5.2777777777777779E-3</v>
      </c>
      <c r="D78">
        <v>456</v>
      </c>
    </row>
    <row r="79" spans="1:4" x14ac:dyDescent="0.3">
      <c r="A79" s="1">
        <v>46085.013767187498</v>
      </c>
      <c r="B79">
        <v>436521</v>
      </c>
      <c r="C79" s="2">
        <v>5.2893518518518515E-3</v>
      </c>
      <c r="D79">
        <v>457</v>
      </c>
    </row>
    <row r="80" spans="1:4" x14ac:dyDescent="0.3">
      <c r="A80" s="1">
        <v>46085.013779131943</v>
      </c>
      <c r="B80">
        <v>436521</v>
      </c>
      <c r="C80" s="2">
        <v>5.3009259259259259E-3</v>
      </c>
      <c r="D80">
        <v>458</v>
      </c>
    </row>
    <row r="81" spans="1:4" x14ac:dyDescent="0.3">
      <c r="A81" s="1">
        <v>46085.013791087964</v>
      </c>
      <c r="B81">
        <v>436521</v>
      </c>
      <c r="C81" s="2">
        <v>5.3125000000000004E-3</v>
      </c>
      <c r="D81">
        <v>459</v>
      </c>
    </row>
    <row r="82" spans="1:4" x14ac:dyDescent="0.3">
      <c r="A82" s="1">
        <v>46085.013803032409</v>
      </c>
      <c r="B82">
        <v>436521</v>
      </c>
      <c r="C82" s="2">
        <v>5.324074074074074E-3</v>
      </c>
      <c r="D82">
        <v>460</v>
      </c>
    </row>
    <row r="83" spans="1:4" x14ac:dyDescent="0.3">
      <c r="A83" s="1">
        <v>46085.013814976854</v>
      </c>
      <c r="B83">
        <v>436521</v>
      </c>
      <c r="C83" s="2">
        <v>5.3356481481481484E-3</v>
      </c>
      <c r="D83">
        <v>461</v>
      </c>
    </row>
    <row r="84" spans="1:4" x14ac:dyDescent="0.3">
      <c r="A84" s="1">
        <v>46085.013826921298</v>
      </c>
      <c r="B84">
        <v>436521</v>
      </c>
      <c r="C84" s="2">
        <v>5.347222222222222E-3</v>
      </c>
      <c r="D84">
        <v>462</v>
      </c>
    </row>
    <row r="85" spans="1:4" x14ac:dyDescent="0.3">
      <c r="A85" s="1">
        <v>46085.013838877312</v>
      </c>
      <c r="B85">
        <v>436521</v>
      </c>
      <c r="C85" s="2">
        <v>5.3587962962962964E-3</v>
      </c>
      <c r="D85">
        <v>463</v>
      </c>
    </row>
    <row r="86" spans="1:4" x14ac:dyDescent="0.3">
      <c r="A86" s="1">
        <v>46085.013850821757</v>
      </c>
      <c r="B86">
        <v>436521</v>
      </c>
      <c r="C86" s="2">
        <v>5.37037037037037E-3</v>
      </c>
      <c r="D86">
        <v>464</v>
      </c>
    </row>
    <row r="87" spans="1:4" x14ac:dyDescent="0.3">
      <c r="A87" s="1">
        <v>46085.013862777778</v>
      </c>
      <c r="B87">
        <v>436521</v>
      </c>
      <c r="C87" s="2">
        <v>5.3819444444444444E-3</v>
      </c>
      <c r="D87">
        <v>465</v>
      </c>
    </row>
    <row r="88" spans="1:4" x14ac:dyDescent="0.3">
      <c r="A88" s="1">
        <v>46085.013874722223</v>
      </c>
      <c r="B88">
        <v>436521</v>
      </c>
      <c r="C88" s="2">
        <v>5.3935185185185188E-3</v>
      </c>
      <c r="D88">
        <v>466</v>
      </c>
    </row>
    <row r="89" spans="1:4" x14ac:dyDescent="0.3">
      <c r="A89" s="1">
        <v>46085.013886666668</v>
      </c>
      <c r="B89">
        <v>436521</v>
      </c>
      <c r="C89" s="2">
        <v>5.4050925925925924E-3</v>
      </c>
      <c r="D89">
        <v>467</v>
      </c>
    </row>
    <row r="90" spans="1:4" x14ac:dyDescent="0.3">
      <c r="A90" s="1">
        <v>46085.013898622688</v>
      </c>
      <c r="B90">
        <v>436521</v>
      </c>
      <c r="C90" s="2">
        <v>5.4166666666666669E-3</v>
      </c>
      <c r="D90">
        <v>468</v>
      </c>
    </row>
    <row r="91" spans="1:4" x14ac:dyDescent="0.3">
      <c r="A91" s="1">
        <v>46085.013910567126</v>
      </c>
      <c r="B91">
        <v>436521</v>
      </c>
      <c r="C91" s="2">
        <v>5.4282407407407404E-3</v>
      </c>
      <c r="D91">
        <v>469</v>
      </c>
    </row>
    <row r="92" spans="1:4" x14ac:dyDescent="0.3">
      <c r="A92" s="1">
        <v>46085.013922511571</v>
      </c>
      <c r="B92">
        <v>436521</v>
      </c>
      <c r="C92" s="2">
        <v>5.4398148148148149E-3</v>
      </c>
      <c r="D92">
        <v>470</v>
      </c>
    </row>
    <row r="93" spans="1:4" x14ac:dyDescent="0.3">
      <c r="A93" s="1">
        <v>46085.013934467592</v>
      </c>
      <c r="B93">
        <v>436521</v>
      </c>
      <c r="C93" s="2">
        <v>5.4513888888888893E-3</v>
      </c>
      <c r="D93">
        <v>471</v>
      </c>
    </row>
    <row r="94" spans="1:4" x14ac:dyDescent="0.3">
      <c r="A94" s="1">
        <v>46085.013946412037</v>
      </c>
      <c r="B94">
        <v>436521</v>
      </c>
      <c r="C94" s="2">
        <v>5.4629629629629629E-3</v>
      </c>
      <c r="D94">
        <v>472</v>
      </c>
    </row>
    <row r="95" spans="1:4" x14ac:dyDescent="0.3">
      <c r="A95" s="1">
        <v>46085.013958356481</v>
      </c>
      <c r="B95">
        <v>436521</v>
      </c>
      <c r="C95" s="2">
        <v>5.4745370370370373E-3</v>
      </c>
      <c r="D95">
        <v>473</v>
      </c>
    </row>
    <row r="96" spans="1:4" x14ac:dyDescent="0.3">
      <c r="A96" s="1">
        <v>46085.013970300926</v>
      </c>
      <c r="B96">
        <v>436521</v>
      </c>
      <c r="C96" s="2">
        <v>5.4861111111111109E-3</v>
      </c>
      <c r="D96">
        <v>474</v>
      </c>
    </row>
    <row r="97" spans="1:4" x14ac:dyDescent="0.3">
      <c r="A97" s="1">
        <v>46085.013982256947</v>
      </c>
      <c r="B97">
        <v>436521</v>
      </c>
      <c r="C97" s="2">
        <v>5.4976851851851853E-3</v>
      </c>
      <c r="D97">
        <v>475</v>
      </c>
    </row>
    <row r="98" spans="1:4" x14ac:dyDescent="0.3">
      <c r="A98" s="1">
        <v>46085.013994201392</v>
      </c>
      <c r="B98">
        <v>436521</v>
      </c>
      <c r="C98" s="2">
        <v>5.5092592592592589E-3</v>
      </c>
      <c r="D98">
        <v>476</v>
      </c>
    </row>
    <row r="99" spans="1:4" x14ac:dyDescent="0.3">
      <c r="A99" s="1">
        <v>46085.014006145837</v>
      </c>
      <c r="B99">
        <v>436521</v>
      </c>
      <c r="C99" s="2">
        <v>5.5324074074074078E-3</v>
      </c>
      <c r="D99">
        <v>478</v>
      </c>
    </row>
    <row r="100" spans="1:4" x14ac:dyDescent="0.3">
      <c r="A100" s="1">
        <v>46085.014018101851</v>
      </c>
      <c r="B100">
        <v>436521</v>
      </c>
      <c r="C100" s="2">
        <v>5.5439814814814813E-3</v>
      </c>
      <c r="D100">
        <v>479</v>
      </c>
    </row>
    <row r="101" spans="1:4" x14ac:dyDescent="0.3">
      <c r="A101" s="1">
        <v>46085.014030046295</v>
      </c>
      <c r="B101">
        <v>186581</v>
      </c>
      <c r="C101" s="2">
        <v>5.5555555555555558E-3</v>
      </c>
      <c r="D101">
        <v>480</v>
      </c>
    </row>
    <row r="102" spans="1:4" x14ac:dyDescent="0.3">
      <c r="A102" s="1">
        <v>46085.01404199074</v>
      </c>
      <c r="B102">
        <v>186581</v>
      </c>
      <c r="C102" s="2">
        <v>5.5671296296296293E-3</v>
      </c>
      <c r="D102">
        <v>481</v>
      </c>
    </row>
    <row r="103" spans="1:4" x14ac:dyDescent="0.3">
      <c r="A103" s="1">
        <v>46085.014053935185</v>
      </c>
      <c r="B103">
        <v>186581</v>
      </c>
      <c r="C103" s="2">
        <v>5.5787037037037038E-3</v>
      </c>
      <c r="D103">
        <v>482</v>
      </c>
    </row>
    <row r="104" spans="1:4" x14ac:dyDescent="0.3">
      <c r="A104" s="1">
        <v>46085.01406587963</v>
      </c>
      <c r="B104">
        <v>186581</v>
      </c>
      <c r="C104" s="2">
        <v>5.5902777777777773E-3</v>
      </c>
      <c r="D104">
        <v>483</v>
      </c>
    </row>
    <row r="105" spans="1:4" x14ac:dyDescent="0.3">
      <c r="A105" s="1">
        <v>46085.014077824075</v>
      </c>
      <c r="B105">
        <v>186581</v>
      </c>
      <c r="C105" s="2">
        <v>5.6018518518518518E-3</v>
      </c>
      <c r="D105">
        <v>484</v>
      </c>
    </row>
    <row r="106" spans="1:4" x14ac:dyDescent="0.3">
      <c r="A106" s="1">
        <v>46085.014089780096</v>
      </c>
      <c r="B106">
        <v>186581</v>
      </c>
      <c r="C106" s="2">
        <v>5.6134259259259262E-3</v>
      </c>
      <c r="D106">
        <v>485</v>
      </c>
    </row>
    <row r="107" spans="1:4" x14ac:dyDescent="0.3">
      <c r="A107" s="1">
        <v>46085.014101724541</v>
      </c>
      <c r="B107">
        <v>186581</v>
      </c>
      <c r="C107" s="2">
        <v>5.6249999999999998E-3</v>
      </c>
      <c r="D107">
        <v>486</v>
      </c>
    </row>
    <row r="108" spans="1:4" x14ac:dyDescent="0.3">
      <c r="A108" s="1">
        <v>46085.014113668978</v>
      </c>
      <c r="B108">
        <v>186581</v>
      </c>
      <c r="C108" s="2">
        <v>5.6365740740740742E-3</v>
      </c>
      <c r="D108">
        <v>487</v>
      </c>
    </row>
    <row r="109" spans="1:4" x14ac:dyDescent="0.3">
      <c r="A109" s="1">
        <v>46085.014125613423</v>
      </c>
      <c r="B109">
        <v>186581</v>
      </c>
      <c r="C109" s="2">
        <v>5.6481481481481478E-3</v>
      </c>
      <c r="D109">
        <v>488</v>
      </c>
    </row>
    <row r="110" spans="1:4" x14ac:dyDescent="0.3">
      <c r="A110" s="1">
        <v>46085.014137569444</v>
      </c>
      <c r="B110">
        <v>186581</v>
      </c>
      <c r="C110" s="2">
        <v>5.6597222222222222E-3</v>
      </c>
      <c r="D110">
        <v>489</v>
      </c>
    </row>
    <row r="111" spans="1:4" x14ac:dyDescent="0.3">
      <c r="A111" s="1">
        <v>46085.014149513889</v>
      </c>
      <c r="B111">
        <v>186581</v>
      </c>
      <c r="C111" s="2">
        <v>5.6712962962962967E-3</v>
      </c>
      <c r="D111">
        <v>490</v>
      </c>
    </row>
    <row r="112" spans="1:4" x14ac:dyDescent="0.3">
      <c r="A112" s="1">
        <v>46085.014161458334</v>
      </c>
      <c r="B112">
        <v>186581</v>
      </c>
      <c r="C112" s="2">
        <v>5.6828703703703702E-3</v>
      </c>
      <c r="D112">
        <v>491</v>
      </c>
    </row>
    <row r="113" spans="1:4" x14ac:dyDescent="0.3">
      <c r="A113" s="1">
        <v>46085.014173414354</v>
      </c>
      <c r="B113">
        <v>186581</v>
      </c>
      <c r="C113" s="2">
        <v>5.6944444444444447E-3</v>
      </c>
      <c r="D113">
        <v>492</v>
      </c>
    </row>
    <row r="114" spans="1:4" x14ac:dyDescent="0.3">
      <c r="A114" s="1">
        <v>46085.014185358799</v>
      </c>
      <c r="B114">
        <v>186581</v>
      </c>
      <c r="C114" s="2">
        <v>5.7060185185185183E-3</v>
      </c>
      <c r="D114">
        <v>493</v>
      </c>
    </row>
    <row r="115" spans="1:4" x14ac:dyDescent="0.3">
      <c r="A115" s="1">
        <v>46085.014197303244</v>
      </c>
      <c r="B115">
        <v>186581</v>
      </c>
      <c r="C115" s="2">
        <v>5.7175925925925927E-3</v>
      </c>
      <c r="D115">
        <v>494</v>
      </c>
    </row>
    <row r="116" spans="1:4" x14ac:dyDescent="0.3">
      <c r="A116" s="1">
        <v>46085.014209259258</v>
      </c>
      <c r="B116">
        <v>186581</v>
      </c>
      <c r="C116" s="2">
        <v>5.7291666666666663E-3</v>
      </c>
      <c r="D116">
        <v>495</v>
      </c>
    </row>
    <row r="117" spans="1:4" x14ac:dyDescent="0.3">
      <c r="A117" s="1">
        <v>46085.014221203703</v>
      </c>
      <c r="B117">
        <v>186581</v>
      </c>
      <c r="C117" s="2">
        <v>5.7407407407407407E-3</v>
      </c>
      <c r="D117">
        <v>496</v>
      </c>
    </row>
    <row r="118" spans="1:4" x14ac:dyDescent="0.3">
      <c r="A118" s="1">
        <v>46085.014233148147</v>
      </c>
      <c r="B118">
        <v>186581</v>
      </c>
      <c r="C118" s="2">
        <v>5.7523148148148151E-3</v>
      </c>
      <c r="D118">
        <v>497</v>
      </c>
    </row>
    <row r="119" spans="1:4" x14ac:dyDescent="0.3">
      <c r="A119" s="1">
        <v>46085.014245104168</v>
      </c>
      <c r="B119">
        <v>186581</v>
      </c>
      <c r="C119" s="2">
        <v>5.7638888888888887E-3</v>
      </c>
      <c r="D119">
        <v>498</v>
      </c>
    </row>
    <row r="120" spans="1:4" x14ac:dyDescent="0.3">
      <c r="A120" s="1">
        <v>46085.014257048613</v>
      </c>
      <c r="B120">
        <v>186581</v>
      </c>
      <c r="C120" s="2">
        <v>5.7754629629629631E-3</v>
      </c>
      <c r="D120">
        <v>499</v>
      </c>
    </row>
    <row r="121" spans="1:4" x14ac:dyDescent="0.3">
      <c r="A121" s="1">
        <v>46085.014268993058</v>
      </c>
      <c r="B121">
        <v>186581</v>
      </c>
      <c r="C121" s="2">
        <v>5.7870370370370367E-3</v>
      </c>
      <c r="D121">
        <v>500</v>
      </c>
    </row>
    <row r="122" spans="1:4" x14ac:dyDescent="0.3">
      <c r="A122" s="1">
        <v>46085.395077152774</v>
      </c>
      <c r="B122">
        <v>731271</v>
      </c>
      <c r="C122" s="2">
        <v>0.38474537037037038</v>
      </c>
      <c r="D122">
        <v>33242</v>
      </c>
    </row>
    <row r="123" spans="1:4" x14ac:dyDescent="0.3">
      <c r="A123" s="1">
        <v>46085.395089131947</v>
      </c>
      <c r="B123">
        <v>731271</v>
      </c>
      <c r="C123" s="2">
        <v>0.38475694444444447</v>
      </c>
      <c r="D123">
        <v>33243</v>
      </c>
    </row>
    <row r="124" spans="1:4" x14ac:dyDescent="0.3">
      <c r="A124" s="1">
        <v>46085.395101099537</v>
      </c>
      <c r="B124">
        <v>731271</v>
      </c>
      <c r="C124" s="2">
        <v>0.38476851851851851</v>
      </c>
      <c r="D124">
        <v>33244</v>
      </c>
    </row>
    <row r="125" spans="1:4" x14ac:dyDescent="0.3">
      <c r="A125" s="1">
        <v>46085.395113067127</v>
      </c>
      <c r="B125">
        <v>731271</v>
      </c>
      <c r="C125" s="2">
        <v>0.3847800925925926</v>
      </c>
      <c r="D125">
        <v>33245</v>
      </c>
    </row>
    <row r="126" spans="1:4" x14ac:dyDescent="0.3">
      <c r="A126" s="1">
        <v>46085.3951250463</v>
      </c>
      <c r="B126">
        <v>731271</v>
      </c>
      <c r="C126" s="2">
        <v>0.38479166666666664</v>
      </c>
      <c r="D126">
        <v>33246</v>
      </c>
    </row>
    <row r="127" spans="1:4" x14ac:dyDescent="0.3">
      <c r="A127" s="1">
        <v>46085.395137013889</v>
      </c>
      <c r="B127">
        <v>731271</v>
      </c>
      <c r="C127" s="2">
        <v>0.38480324074074074</v>
      </c>
      <c r="D127">
        <v>33247</v>
      </c>
    </row>
    <row r="128" spans="1:4" x14ac:dyDescent="0.3">
      <c r="A128" s="1">
        <v>46085.395148981479</v>
      </c>
      <c r="B128">
        <v>731271</v>
      </c>
      <c r="C128" s="2">
        <v>0.38481481481481483</v>
      </c>
      <c r="D128">
        <v>33248</v>
      </c>
    </row>
    <row r="129" spans="1:4" x14ac:dyDescent="0.3">
      <c r="A129" s="1">
        <v>46085.395160960645</v>
      </c>
      <c r="B129">
        <v>731271</v>
      </c>
      <c r="C129" s="2">
        <v>0.38482638888888887</v>
      </c>
      <c r="D129">
        <v>33249</v>
      </c>
    </row>
    <row r="130" spans="1:4" x14ac:dyDescent="0.3">
      <c r="A130" s="1">
        <v>46085.395172928242</v>
      </c>
      <c r="B130">
        <v>731271</v>
      </c>
      <c r="C130" s="2">
        <v>0.38483796296296297</v>
      </c>
      <c r="D130">
        <v>33250</v>
      </c>
    </row>
    <row r="131" spans="1:4" x14ac:dyDescent="0.3">
      <c r="A131" s="1">
        <v>46085.395184895831</v>
      </c>
      <c r="B131">
        <v>731271</v>
      </c>
      <c r="C131" s="2">
        <v>0.38484953703703706</v>
      </c>
      <c r="D131">
        <v>33251</v>
      </c>
    </row>
    <row r="132" spans="1:4" x14ac:dyDescent="0.3">
      <c r="A132" s="1">
        <v>46085.395196874997</v>
      </c>
      <c r="B132">
        <v>731271</v>
      </c>
      <c r="C132" s="2">
        <v>0.3848611111111111</v>
      </c>
      <c r="D132">
        <v>33252</v>
      </c>
    </row>
    <row r="133" spans="1:4" x14ac:dyDescent="0.3">
      <c r="A133" s="1">
        <v>46085.395208842594</v>
      </c>
      <c r="B133">
        <v>731271</v>
      </c>
      <c r="C133" s="2">
        <v>0.38487268518518519</v>
      </c>
      <c r="D133">
        <v>33253</v>
      </c>
    </row>
    <row r="134" spans="1:4" x14ac:dyDescent="0.3">
      <c r="A134" s="1">
        <v>46085.395220810184</v>
      </c>
      <c r="B134">
        <v>731271</v>
      </c>
      <c r="C134" s="2">
        <v>0.38488425925925923</v>
      </c>
      <c r="D134">
        <v>33254</v>
      </c>
    </row>
    <row r="135" spans="1:4" x14ac:dyDescent="0.3">
      <c r="A135" s="1">
        <v>46085.395232789349</v>
      </c>
      <c r="B135">
        <v>731271</v>
      </c>
      <c r="C135" s="2">
        <v>0.38489583333333333</v>
      </c>
      <c r="D135">
        <v>33255</v>
      </c>
    </row>
    <row r="136" spans="1:4" x14ac:dyDescent="0.3">
      <c r="A136" s="1">
        <v>46085.395244756946</v>
      </c>
      <c r="B136">
        <v>731271</v>
      </c>
      <c r="C136" s="2">
        <v>0.38490740740740742</v>
      </c>
      <c r="D136">
        <v>33256</v>
      </c>
    </row>
    <row r="137" spans="1:4" x14ac:dyDescent="0.3">
      <c r="A137" s="1">
        <v>46085.395256724536</v>
      </c>
      <c r="B137">
        <v>731271</v>
      </c>
      <c r="C137" s="2">
        <v>0.38491898148148146</v>
      </c>
      <c r="D137">
        <v>33257</v>
      </c>
    </row>
    <row r="138" spans="1:4" x14ac:dyDescent="0.3">
      <c r="A138" s="1">
        <v>46085.395268703702</v>
      </c>
      <c r="B138">
        <v>731271</v>
      </c>
      <c r="C138" s="2">
        <v>0.38493055555555555</v>
      </c>
      <c r="D138">
        <v>33258</v>
      </c>
    </row>
    <row r="139" spans="1:4" x14ac:dyDescent="0.3">
      <c r="A139" s="1">
        <v>46085.395280671299</v>
      </c>
      <c r="B139">
        <v>731271</v>
      </c>
      <c r="C139" s="2">
        <v>0.38494212962962965</v>
      </c>
      <c r="D139">
        <v>33259</v>
      </c>
    </row>
    <row r="140" spans="1:4" x14ac:dyDescent="0.3">
      <c r="A140" s="1">
        <v>46085.395292638888</v>
      </c>
      <c r="B140">
        <v>731271</v>
      </c>
      <c r="C140" s="2">
        <v>0.38495370370370369</v>
      </c>
      <c r="D140">
        <v>33260</v>
      </c>
    </row>
    <row r="141" spans="1:4" x14ac:dyDescent="0.3">
      <c r="A141" s="1">
        <v>46085.395304618054</v>
      </c>
      <c r="B141">
        <v>731271</v>
      </c>
      <c r="C141" s="2">
        <v>0.38496527777777778</v>
      </c>
      <c r="D141">
        <v>33261</v>
      </c>
    </row>
    <row r="142" spans="1:4" x14ac:dyDescent="0.3">
      <c r="A142" s="1">
        <v>46085.395316585651</v>
      </c>
      <c r="B142">
        <v>731271</v>
      </c>
      <c r="C142" s="2">
        <v>0.38498842592592591</v>
      </c>
      <c r="D142">
        <v>33263</v>
      </c>
    </row>
    <row r="143" spans="1:4" x14ac:dyDescent="0.3">
      <c r="A143" s="1">
        <v>46085.395328553241</v>
      </c>
      <c r="B143">
        <v>731271</v>
      </c>
      <c r="C143" s="2">
        <v>0.38500000000000001</v>
      </c>
      <c r="D143">
        <v>33264</v>
      </c>
    </row>
    <row r="144" spans="1:4" x14ac:dyDescent="0.3">
      <c r="A144" s="1">
        <v>46085.39534052083</v>
      </c>
      <c r="B144">
        <v>731271</v>
      </c>
      <c r="C144" s="2">
        <v>0.38501157407407405</v>
      </c>
      <c r="D144">
        <v>33265</v>
      </c>
    </row>
    <row r="145" spans="1:4" x14ac:dyDescent="0.3">
      <c r="A145" s="1">
        <v>46085.395352500003</v>
      </c>
      <c r="B145">
        <v>731271</v>
      </c>
      <c r="C145" s="2">
        <v>0.38502314814814814</v>
      </c>
      <c r="D145">
        <v>33266</v>
      </c>
    </row>
    <row r="146" spans="1:4" x14ac:dyDescent="0.3">
      <c r="A146" s="1">
        <v>46085.395364467593</v>
      </c>
      <c r="B146">
        <v>731271</v>
      </c>
      <c r="C146" s="2">
        <v>0.38503472222222224</v>
      </c>
      <c r="D146">
        <v>33267</v>
      </c>
    </row>
    <row r="147" spans="1:4" x14ac:dyDescent="0.3">
      <c r="A147" s="1">
        <v>46085.395376435183</v>
      </c>
      <c r="B147">
        <v>731271</v>
      </c>
      <c r="C147" s="2">
        <v>0.38504629629629628</v>
      </c>
      <c r="D147">
        <v>33268</v>
      </c>
    </row>
    <row r="148" spans="1:4" x14ac:dyDescent="0.3">
      <c r="A148" s="1">
        <v>46085.39538840278</v>
      </c>
      <c r="B148">
        <v>731271</v>
      </c>
      <c r="C148" s="2">
        <v>0.38505787037037037</v>
      </c>
      <c r="D148">
        <v>33269</v>
      </c>
    </row>
    <row r="149" spans="1:4" x14ac:dyDescent="0.3">
      <c r="A149" s="1">
        <v>46085.395400381945</v>
      </c>
      <c r="B149">
        <v>461650</v>
      </c>
      <c r="C149" s="2">
        <v>0.38506944444444446</v>
      </c>
      <c r="D149">
        <v>33270</v>
      </c>
    </row>
    <row r="150" spans="1:4" x14ac:dyDescent="0.3">
      <c r="A150" s="1">
        <v>46085.395412349535</v>
      </c>
      <c r="B150">
        <v>461650</v>
      </c>
      <c r="C150" s="2">
        <v>0.3850810185185185</v>
      </c>
      <c r="D150">
        <v>33271</v>
      </c>
    </row>
    <row r="151" spans="1:4" x14ac:dyDescent="0.3">
      <c r="A151" s="1">
        <v>46085.395424340277</v>
      </c>
      <c r="B151">
        <v>461650</v>
      </c>
      <c r="C151" s="2">
        <v>0.3850925925925926</v>
      </c>
      <c r="D151">
        <v>33272</v>
      </c>
    </row>
    <row r="152" spans="1:4" x14ac:dyDescent="0.3">
      <c r="A152" s="1">
        <v>46085.395436284722</v>
      </c>
      <c r="B152">
        <v>461650</v>
      </c>
      <c r="C152" s="2">
        <v>0.38510416666666669</v>
      </c>
      <c r="D152">
        <v>33273</v>
      </c>
    </row>
    <row r="153" spans="1:4" x14ac:dyDescent="0.3">
      <c r="A153" s="1">
        <v>46085.395448263887</v>
      </c>
      <c r="B153">
        <v>461650</v>
      </c>
      <c r="C153" s="2">
        <v>0.38511574074074073</v>
      </c>
      <c r="D153">
        <v>33274</v>
      </c>
    </row>
    <row r="154" spans="1:4" x14ac:dyDescent="0.3">
      <c r="A154" s="1">
        <v>46085.395460231484</v>
      </c>
      <c r="B154">
        <v>461650</v>
      </c>
      <c r="C154" s="2">
        <v>0.38512731481481483</v>
      </c>
      <c r="D154">
        <v>33275</v>
      </c>
    </row>
    <row r="155" spans="1:4" x14ac:dyDescent="0.3">
      <c r="A155" s="1">
        <v>46085.395472199074</v>
      </c>
      <c r="B155">
        <v>461650</v>
      </c>
      <c r="C155" s="2">
        <v>0.38513888888888886</v>
      </c>
      <c r="D155">
        <v>33276</v>
      </c>
    </row>
    <row r="156" spans="1:4" x14ac:dyDescent="0.3">
      <c r="A156" s="1">
        <v>46085.395484166664</v>
      </c>
      <c r="B156">
        <v>461650</v>
      </c>
      <c r="C156" s="2">
        <v>0.38515046296296296</v>
      </c>
      <c r="D156">
        <v>33277</v>
      </c>
    </row>
    <row r="157" spans="1:4" x14ac:dyDescent="0.3">
      <c r="A157" s="1">
        <v>46085.395496134261</v>
      </c>
      <c r="B157">
        <v>461650</v>
      </c>
      <c r="C157" s="2">
        <v>0.38516203703703705</v>
      </c>
      <c r="D157">
        <v>33278</v>
      </c>
    </row>
    <row r="158" spans="1:4" x14ac:dyDescent="0.3">
      <c r="A158" s="1">
        <v>46085.39550810185</v>
      </c>
      <c r="B158">
        <v>461650</v>
      </c>
      <c r="C158" s="2">
        <v>0.38517361111111109</v>
      </c>
      <c r="D158">
        <v>33279</v>
      </c>
    </row>
    <row r="159" spans="1:4" x14ac:dyDescent="0.3">
      <c r="A159" s="1">
        <v>46085.395520081016</v>
      </c>
      <c r="B159">
        <v>461650</v>
      </c>
      <c r="C159" s="2">
        <v>0.38518518518518519</v>
      </c>
      <c r="D159">
        <v>33280</v>
      </c>
    </row>
    <row r="160" spans="1:4" x14ac:dyDescent="0.3">
      <c r="A160" s="1">
        <v>46085.395532048613</v>
      </c>
      <c r="B160">
        <v>461650</v>
      </c>
      <c r="C160" s="2">
        <v>0.38519675925925928</v>
      </c>
      <c r="D160">
        <v>33281</v>
      </c>
    </row>
    <row r="161" spans="1:4" x14ac:dyDescent="0.3">
      <c r="A161" s="1">
        <v>46085.395544016203</v>
      </c>
      <c r="B161">
        <v>461650</v>
      </c>
      <c r="C161" s="2">
        <v>0.38520833333333332</v>
      </c>
      <c r="D161">
        <v>33282</v>
      </c>
    </row>
    <row r="162" spans="1:4" x14ac:dyDescent="0.3">
      <c r="A162" s="1">
        <v>46085.3955559838</v>
      </c>
      <c r="B162">
        <v>461650</v>
      </c>
      <c r="C162" s="2">
        <v>0.38521990740740741</v>
      </c>
      <c r="D162">
        <v>33283</v>
      </c>
    </row>
    <row r="163" spans="1:4" x14ac:dyDescent="0.3">
      <c r="A163" s="1">
        <v>46085.395567951389</v>
      </c>
      <c r="B163">
        <v>461650</v>
      </c>
      <c r="C163" s="2">
        <v>0.38523148148148151</v>
      </c>
      <c r="D163">
        <v>33284</v>
      </c>
    </row>
    <row r="164" spans="1:4" x14ac:dyDescent="0.3">
      <c r="A164" s="1">
        <v>46085.395579918979</v>
      </c>
      <c r="B164">
        <v>461650</v>
      </c>
      <c r="C164" s="2">
        <v>0.38524305555555555</v>
      </c>
      <c r="D164">
        <v>33285</v>
      </c>
    </row>
    <row r="165" spans="1:4" x14ac:dyDescent="0.3">
      <c r="A165" s="1">
        <v>46085.395591886576</v>
      </c>
      <c r="B165">
        <v>461650</v>
      </c>
      <c r="C165" s="2">
        <v>0.38525462962962964</v>
      </c>
      <c r="D165">
        <v>33286</v>
      </c>
    </row>
    <row r="166" spans="1:4" x14ac:dyDescent="0.3">
      <c r="A166" s="1">
        <v>46085.395603865742</v>
      </c>
      <c r="B166">
        <v>461650</v>
      </c>
      <c r="C166" s="2">
        <v>0.38526620370370368</v>
      </c>
      <c r="D166">
        <v>33287</v>
      </c>
    </row>
    <row r="167" spans="1:4" x14ac:dyDescent="0.3">
      <c r="A167" s="1">
        <v>46085.395615833331</v>
      </c>
      <c r="B167">
        <v>461650</v>
      </c>
      <c r="C167" s="2">
        <v>0.38527777777777777</v>
      </c>
      <c r="D167">
        <v>33288</v>
      </c>
    </row>
    <row r="168" spans="1:4" x14ac:dyDescent="0.3">
      <c r="A168" s="1">
        <v>46085.395627800928</v>
      </c>
      <c r="B168">
        <v>461650</v>
      </c>
      <c r="C168" s="2">
        <v>0.38528935185185187</v>
      </c>
      <c r="D168">
        <v>33289</v>
      </c>
    </row>
    <row r="169" spans="1:4" x14ac:dyDescent="0.3">
      <c r="A169" s="1">
        <v>46085.395639780094</v>
      </c>
      <c r="B169">
        <v>461650</v>
      </c>
      <c r="C169" s="2">
        <v>0.38530092592592591</v>
      </c>
      <c r="D169">
        <v>33290</v>
      </c>
    </row>
    <row r="170" spans="1:4" x14ac:dyDescent="0.3">
      <c r="A170" s="1">
        <v>46085.395651747684</v>
      </c>
      <c r="B170">
        <v>461650</v>
      </c>
      <c r="C170" s="2">
        <v>0.3853125</v>
      </c>
      <c r="D170">
        <v>33291</v>
      </c>
    </row>
    <row r="171" spans="1:4" x14ac:dyDescent="0.3">
      <c r="A171" s="1">
        <v>46085.395663726849</v>
      </c>
      <c r="B171">
        <v>461650</v>
      </c>
      <c r="C171" s="2">
        <v>0.3853240740740741</v>
      </c>
      <c r="D171">
        <v>33292</v>
      </c>
    </row>
    <row r="172" spans="1:4" x14ac:dyDescent="0.3">
      <c r="A172" s="1">
        <v>46085.395675694446</v>
      </c>
      <c r="B172">
        <v>461650</v>
      </c>
      <c r="C172" s="2">
        <v>0.38533564814814814</v>
      </c>
      <c r="D172">
        <v>33293</v>
      </c>
    </row>
    <row r="173" spans="1:4" x14ac:dyDescent="0.3">
      <c r="A173" s="1">
        <v>46085.395687662036</v>
      </c>
      <c r="B173">
        <v>461650</v>
      </c>
      <c r="C173" s="2">
        <v>0.38534722222222223</v>
      </c>
      <c r="D173">
        <v>33294</v>
      </c>
    </row>
    <row r="174" spans="1:4" x14ac:dyDescent="0.3">
      <c r="A174" s="1">
        <v>46085.395699641202</v>
      </c>
      <c r="B174">
        <v>461650</v>
      </c>
      <c r="C174" s="2">
        <v>0.38535879629629627</v>
      </c>
      <c r="D174">
        <v>33295</v>
      </c>
    </row>
    <row r="175" spans="1:4" x14ac:dyDescent="0.3">
      <c r="A175" s="1">
        <v>46085.395711608799</v>
      </c>
      <c r="B175">
        <v>461650</v>
      </c>
      <c r="C175" s="2">
        <v>0.38538194444444446</v>
      </c>
      <c r="D175">
        <v>33297</v>
      </c>
    </row>
    <row r="176" spans="1:4" x14ac:dyDescent="0.3">
      <c r="A176" s="1">
        <v>46085.395723587964</v>
      </c>
      <c r="B176">
        <v>461650</v>
      </c>
      <c r="C176" s="2">
        <v>0.3853935185185185</v>
      </c>
      <c r="D176">
        <v>33298</v>
      </c>
    </row>
    <row r="177" spans="1:4" x14ac:dyDescent="0.3">
      <c r="A177" s="1">
        <v>46085.395735555554</v>
      </c>
      <c r="B177">
        <v>461650</v>
      </c>
      <c r="C177" s="2">
        <v>0.38540509259259259</v>
      </c>
      <c r="D177">
        <v>33299</v>
      </c>
    </row>
    <row r="178" spans="1:4" x14ac:dyDescent="0.3">
      <c r="A178" s="1">
        <v>46085.395747523151</v>
      </c>
      <c r="B178">
        <v>942390</v>
      </c>
      <c r="C178" s="2">
        <v>0.38541666666666669</v>
      </c>
      <c r="D178">
        <v>33300</v>
      </c>
    </row>
    <row r="179" spans="1:4" x14ac:dyDescent="0.3">
      <c r="A179" s="1">
        <v>46085.395759490741</v>
      </c>
      <c r="B179">
        <v>942390</v>
      </c>
      <c r="C179" s="2">
        <v>0.38542824074074072</v>
      </c>
      <c r="D179">
        <v>33301</v>
      </c>
    </row>
    <row r="180" spans="1:4" x14ac:dyDescent="0.3">
      <c r="A180" s="1">
        <v>46085.395771469906</v>
      </c>
      <c r="B180">
        <v>942390</v>
      </c>
      <c r="C180" s="2">
        <v>0.38543981481481482</v>
      </c>
      <c r="D180">
        <v>33302</v>
      </c>
    </row>
    <row r="181" spans="1:4" x14ac:dyDescent="0.3">
      <c r="A181" s="1">
        <v>46085.395783437503</v>
      </c>
      <c r="B181">
        <v>942390</v>
      </c>
      <c r="C181" s="2">
        <v>0.38545138888888891</v>
      </c>
      <c r="D181">
        <v>33303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attiny_log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Cortez</cp:lastModifiedBy>
  <dcterms:created xsi:type="dcterms:W3CDTF">2026-03-04T09:34:21Z</dcterms:created>
  <dcterms:modified xsi:type="dcterms:W3CDTF">2026-03-04T09:44:45Z</dcterms:modified>
</cp:coreProperties>
</file>